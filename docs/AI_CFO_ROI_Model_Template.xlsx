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nputs" sheetId="2" state="visible" r:id="rId4"/>
    <sheet name="UseCases" sheetId="3" state="visible" r:id="rId5"/>
    <sheet name="Costs" sheetId="4" state="visible" r:id="rId6"/>
    <sheet name="Summary" sheetId="5" state="visible" r:id="rId7"/>
    <sheet name="DataReque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<sst xmlns="http://schemas.openxmlformats.org/spreadsheetml/2006/main" count="223" uniqueCount="141">
  <si>
    <t xml:space="preserve">AI CFO ROI Model (Template)</t>
  </si>
  <si>
    <t xml:space="preserve">How to use this workbook:</t>
  </si>
  <si>
    <t xml:space="preserve">1) Go to the Inputs sheet and fill blue cells (assumptions). Yellow-highlighted inputs are the most important.</t>
  </si>
  <si>
    <t xml:space="preserve">2) In UseCases, fill the blue inputs for each use case you plan to include. Leave unused use cases blank (0 values).</t>
  </si>
  <si>
    <t xml:space="preserve">3) In Costs, enter one-time and run costs (blue).</t>
  </si>
  <si>
    <t xml:space="preserve">4) Summary automatically calculates benefits, net value, ROI, payback and 3-year NPV (if discount rate is provided).</t>
  </si>
  <si>
    <t xml:space="preserve">Conventions:</t>
  </si>
  <si>
    <t xml:space="preserve">- Blue text = inputs you should change</t>
  </si>
  <si>
    <t xml:space="preserve">- Black text = formulas / calculated fields</t>
  </si>
  <si>
    <t xml:space="preserve">- Green text = links to other sheets</t>
  </si>
  <si>
    <t xml:space="preserve">- Yellow fill = key assumptions needing attention</t>
  </si>
  <si>
    <t xml:space="preserve">Tip: Keep forecasting ROI conservative unless you can tie accuracy to a specific decision lever (hiring, inventory, spend, borrowing).</t>
  </si>
  <si>
    <t xml:space="preserve">Global assumptions</t>
  </si>
  <si>
    <t xml:space="preserve">Currency label (for display)</t>
  </si>
  <si>
    <t xml:space="preserve">USD</t>
  </si>
  <si>
    <t xml:space="preserve">Fully loaded hourly cost</t>
  </si>
  <si>
    <t xml:space="preserve">Cost of capital / interest rate (annual)</t>
  </si>
  <si>
    <t xml:space="preserve">Discount rate for NPV (annual)</t>
  </si>
  <si>
    <t xml:space="preserve">Working days per year (for daily reporting conversion)</t>
  </si>
  <si>
    <t xml:space="preserve">Default confidence factors (used if you link cells in UseCases)</t>
  </si>
  <si>
    <t xml:space="preserve">Adoption factor (A)</t>
  </si>
  <si>
    <t xml:space="preserve">Performance factor (P)</t>
  </si>
  <si>
    <t xml:space="preserve">Realization rate (time savings to £)</t>
  </si>
  <si>
    <t xml:space="preserve">Probability of acting on forecast insight</t>
  </si>
  <si>
    <t xml:space="preserve">Scenario multipliers (for quick downside/base/upside)</t>
  </si>
  <si>
    <t xml:space="preserve">Scenario</t>
  </si>
  <si>
    <t xml:space="preserve">Benefit multiplier</t>
  </si>
  <si>
    <t xml:space="preserve">Cost multiplier</t>
  </si>
  <si>
    <t xml:space="preserve">Downside</t>
  </si>
  <si>
    <t xml:space="preserve">Base</t>
  </si>
  <si>
    <t xml:space="preserve">Upside</t>
  </si>
  <si>
    <t xml:space="preserve">Use case inputs (blue) and calculated benefits (black)</t>
  </si>
  <si>
    <t xml:space="preserve">Item</t>
  </si>
  <si>
    <t xml:space="preserve">Input</t>
  </si>
  <si>
    <t xml:space="preserve">Unit/Notes</t>
  </si>
  <si>
    <t xml:space="preserve">Year 1</t>
  </si>
  <si>
    <t xml:space="preserve">Year 2</t>
  </si>
  <si>
    <t xml:space="preserve">Year 3</t>
  </si>
  <si>
    <t xml:space="preserve">Hourly cost (linked)</t>
  </si>
  <si>
    <t xml:space="preserve">Pulls from Inputs</t>
  </si>
  <si>
    <t xml:space="preserve">Cost of capital (linked)</t>
  </si>
  <si>
    <t xml:space="preserve">Default Adoption (linked)</t>
  </si>
  <si>
    <t xml:space="preserve">Default Performance (linked)</t>
  </si>
  <si>
    <t xml:space="preserve">Default Realization (linked)</t>
  </si>
  <si>
    <t xml:space="preserve">Default Prob. of acting (linked)</t>
  </si>
  <si>
    <t xml:space="preserve">1) Daily reporting (time savings)</t>
  </si>
  <si>
    <t xml:space="preserve">Hours per reporting cycle</t>
  </si>
  <si>
    <t xml:space="preserve">hours</t>
  </si>
  <si>
    <t xml:space="preserve">Cycles per year</t>
  </si>
  <si>
    <t xml:space="preserve">e.g., 260 business days</t>
  </si>
  <si>
    <t xml:space="preserve">% time reduction from AI</t>
  </si>
  <si>
    <t xml:space="preserve">fraction (25% = 0.25)</t>
  </si>
  <si>
    <t xml:space="preserve">Realization rate (time→£)</t>
  </si>
  <si>
    <t xml:space="preserve">use linked default or overwrite</t>
  </si>
  <si>
    <t xml:space="preserve">Ramp to full benefit (Y1/Y2/Y3)</t>
  </si>
  <si>
    <t xml:space="preserve">Y1 ramp fraction; adjust on right columns</t>
  </si>
  <si>
    <t xml:space="preserve">Expected benefit</t>
  </si>
  <si>
    <t xml:space="preserve">currency / year</t>
  </si>
  <si>
    <t xml:space="preserve">2) Close automation (time + contractor/overtime savings)</t>
  </si>
  <si>
    <t xml:space="preserve">Finance hours per close</t>
  </si>
  <si>
    <t xml:space="preserve">Closes per year</t>
  </si>
  <si>
    <t xml:space="preserve">typically 12</t>
  </si>
  <si>
    <t xml:space="preserve">fraction</t>
  </si>
  <si>
    <t xml:space="preserve">Contractor/overtime spend per year</t>
  </si>
  <si>
    <t xml:space="preserve">hard savings opportunity</t>
  </si>
  <si>
    <t xml:space="preserve">% reduction in contractor/overtime</t>
  </si>
  <si>
    <t xml:space="preserve">3) Forecasting (monetize via decision lever)</t>
  </si>
  <si>
    <t xml:space="preserve">Baseline forecast error (MAPE)</t>
  </si>
  <si>
    <t xml:space="preserve">Target forecast error (MAPE)</t>
  </si>
  <si>
    <t xml:space="preserve">Financial sensitivity</t>
  </si>
  <si>
    <t xml:space="preserve">£ per 1.00 (100%) error; see note</t>
  </si>
  <si>
    <t xml:space="preserve">Probability of acting on insight</t>
  </si>
  <si>
    <t xml:space="preserve">4) Inventory (cash + write-downs + expediting)</t>
  </si>
  <si>
    <t xml:space="preserve">Annual COGS</t>
  </si>
  <si>
    <t xml:space="preserve">DIO reduction (days)</t>
  </si>
  <si>
    <t xml:space="preserve">days</t>
  </si>
  <si>
    <t xml:space="preserve">Annual inventory write-downs</t>
  </si>
  <si>
    <t xml:space="preserve">% write-down reduction</t>
  </si>
  <si>
    <t xml:space="preserve">Annual expedite / rush spend</t>
  </si>
  <si>
    <t xml:space="preserve">% reduction in expedite spend</t>
  </si>
  <si>
    <t xml:space="preserve">5) Working capital (AR/AP/cash)</t>
  </si>
  <si>
    <t xml:space="preserve">Annual revenue</t>
  </si>
  <si>
    <t xml:space="preserve">DSO reduction (days)</t>
  </si>
  <si>
    <t xml:space="preserve">Average borrowing outstanding</t>
  </si>
  <si>
    <t xml:space="preserve">currency</t>
  </si>
  <si>
    <t xml:space="preserve">Borrowing rate (annual)</t>
  </si>
  <si>
    <t xml:space="preserve">link to cost of capital or overwrite</t>
  </si>
  <si>
    <t xml:space="preserve">% reduction in borrowing</t>
  </si>
  <si>
    <t xml:space="preserve">Annual bad debt / write-offs</t>
  </si>
  <si>
    <t xml:space="preserve">% reduction in bad debt</t>
  </si>
  <si>
    <t xml:space="preserve">6) Board-pack narratives (time savings)</t>
  </si>
  <si>
    <t xml:space="preserve">Hours per board pack</t>
  </si>
  <si>
    <t xml:space="preserve">hours (data + slides + narrative)</t>
  </si>
  <si>
    <t xml:space="preserve">Packs per year</t>
  </si>
  <si>
    <t xml:space="preserve">TOTAL (all use cases)</t>
  </si>
  <si>
    <t xml:space="preserve">Total expected benefits</t>
  </si>
  <si>
    <t xml:space="preserve">Costs (blue inputs)</t>
  </si>
  <si>
    <t xml:space="preserve">Cost item</t>
  </si>
  <si>
    <t xml:space="preserve">One-time</t>
  </si>
  <si>
    <t xml:space="preserve">Implementation / onboarding services</t>
  </si>
  <si>
    <t xml:space="preserve">Integrations / ETL / iPaaS work</t>
  </si>
  <si>
    <t xml:space="preserve">Data mapping &amp; cleanup effort</t>
  </si>
  <si>
    <t xml:space="preserve">Security / legal / compliance</t>
  </si>
  <si>
    <t xml:space="preserve">Internal SMEs (finance, IT, data) - converted to £</t>
  </si>
  <si>
    <t xml:space="preserve">Change management &amp; training</t>
  </si>
  <si>
    <t xml:space="preserve">Run costs (annual)</t>
  </si>
  <si>
    <t xml:space="preserve">Subscription / licenses</t>
  </si>
  <si>
    <t xml:space="preserve">Cloud compute (if applicable)</t>
  </si>
  <si>
    <t xml:space="preserve">Support / admin</t>
  </si>
  <si>
    <t xml:space="preserve">Monitoring / governance</t>
  </si>
  <si>
    <t xml:space="preserve">Ongoing improvements</t>
  </si>
  <si>
    <t xml:space="preserve">TOTAL costs</t>
  </si>
  <si>
    <t xml:space="preserve">Summary (Expected case)</t>
  </si>
  <si>
    <t xml:space="preserve">Metric</t>
  </si>
  <si>
    <t xml:space="preserve">Total costs</t>
  </si>
  <si>
    <t xml:space="preserve">Net benefit</t>
  </si>
  <si>
    <t xml:space="preserve">ROI (Year 1 net / one-time)</t>
  </si>
  <si>
    <t xml:space="preserve">ROI</t>
  </si>
  <si>
    <t xml:space="preserve">Payback (months) (approx, using Year 1 net / 12)</t>
  </si>
  <si>
    <t xml:space="preserve">3-year NPV (discounted net benefits - one-time)</t>
  </si>
  <si>
    <t xml:space="preserve">Scenario view (multipliers from Inputs)</t>
  </si>
  <si>
    <t xml:space="preserve">Benefit x</t>
  </si>
  <si>
    <t xml:space="preserve">Cost x</t>
  </si>
  <si>
    <t xml:space="preserve">ROI (Year 1)</t>
  </si>
  <si>
    <t xml:space="preserve">Client data request checklist (for credible ROI)</t>
  </si>
  <si>
    <t xml:space="preserve">Category</t>
  </si>
  <si>
    <t xml:space="preserve">What to ask for (anonymized ok)</t>
  </si>
  <si>
    <t xml:space="preserve">Daily reporting</t>
  </si>
  <si>
    <t xml:space="preserve">List of recurring reports; who produces them; time per report; cadence; rework/correction rate.</t>
  </si>
  <si>
    <t xml:space="preserve">Close</t>
  </si>
  <si>
    <t xml:space="preserve">Close calendar; hours by role; reconciliation count; manual journals; overtime/contractor spend; post-close adjustments/errors.</t>
  </si>
  <si>
    <t xml:space="preserve">Forecasting</t>
  </si>
  <si>
    <t xml:space="preserve">Actual vs forecast history (12–24 months) for revenue, GM, opex, cash; key drivers; decisions the forecast drives; baseline forecast accuracy.</t>
  </si>
  <si>
    <t xml:space="preserve">Inventory</t>
  </si>
  <si>
    <t xml:space="preserve">COGS; DIO; stockouts + expedite spend; obsolescence/write-downs; service level targets; key SKUs/product hierarchy.</t>
  </si>
  <si>
    <t xml:space="preserve">Working capital</t>
  </si>
  <si>
    <t xml:space="preserve">DSO/DPO history; AR aging; bad debt/write-offs; borrowing levels + rates; cash policy; collection process notes.</t>
  </si>
  <si>
    <t xml:space="preserve">Board pack</t>
  </si>
  <si>
    <t xml:space="preserve">Time to produce pack; number of iterations; sample pack (redacted); KPI definitions and narrative style expectations.</t>
  </si>
  <si>
    <t xml:space="preserve">Security / compliance</t>
  </si>
  <si>
    <t xml:space="preserve">SSO/RBAC needs; data residency; audit trail expectations; write-back approvals; regulated data categories.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</si>
</sst>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"/>
    <numFmt numFmtId="168" formatCode="0.00\x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105"/>
  </cols>
  <sheetData>
    <row r="1" customFormat="false" ht="17.9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/>
    </row>
    <row r="15" customFormat="false" ht="23.85" hidden="false" customHeight="false" outlineLevel="0" collapsed="false">
      <c r="B15" s="4" t="s">
        <v>11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3" activeCellId="0" sqref="A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5" t="s">
        <v>12</v>
      </c>
    </row>
    <row r="3" customFormat="false" ht="15" hidden="false" customHeight="false" outlineLevel="0" collapsed="false">
      <c r="A3" s="6" t="s">
        <v>13</v>
      </c>
      <c r="B3" s="7" t="s">
        <v>14</v>
      </c>
    </row>
    <row r="4" customFormat="false" ht="15" hidden="false" customHeight="false" outlineLevel="0" collapsed="false">
      <c r="A4" s="6" t="s">
        <v>15</v>
      </c>
      <c r="B4" s="8" t="n">
        <v>75</v>
      </c>
    </row>
    <row r="5" customFormat="false" ht="15" hidden="false" customHeight="false" outlineLevel="0" collapsed="false">
      <c r="A5" s="6" t="s">
        <v>16</v>
      </c>
      <c r="B5" s="9" t="n">
        <v>0.1</v>
      </c>
    </row>
    <row r="6" customFormat="false" ht="15" hidden="false" customHeight="false" outlineLevel="0" collapsed="false">
      <c r="A6" s="6" t="s">
        <v>17</v>
      </c>
      <c r="B6" s="9" t="n">
        <v>0.1</v>
      </c>
    </row>
    <row r="7" customFormat="false" ht="26.85" hidden="false" customHeight="false" outlineLevel="0" collapsed="false">
      <c r="A7" s="6" t="s">
        <v>18</v>
      </c>
      <c r="B7" s="10" t="n">
        <v>260</v>
      </c>
    </row>
    <row r="9" customFormat="false" ht="15" hidden="false" customHeight="false" outlineLevel="0" collapsed="false">
      <c r="A9" s="2" t="s">
        <v>19</v>
      </c>
    </row>
    <row r="10" customFormat="false" ht="15" hidden="false" customHeight="false" outlineLevel="0" collapsed="false">
      <c r="A10" s="6" t="s">
        <v>20</v>
      </c>
      <c r="B10" s="11" t="n">
        <v>0.75</v>
      </c>
    </row>
    <row r="11" customFormat="false" ht="15" hidden="false" customHeight="false" outlineLevel="0" collapsed="false">
      <c r="A11" s="6" t="s">
        <v>21</v>
      </c>
      <c r="B11" s="11" t="n">
        <v>0.8</v>
      </c>
    </row>
    <row r="12" customFormat="false" ht="15" hidden="false" customHeight="false" outlineLevel="0" collapsed="false">
      <c r="A12" s="6" t="s">
        <v>22</v>
      </c>
      <c r="B12" s="11" t="n">
        <v>0.5</v>
      </c>
    </row>
    <row r="13" customFormat="false" ht="15" hidden="false" customHeight="false" outlineLevel="0" collapsed="false">
      <c r="A13" s="6" t="s">
        <v>23</v>
      </c>
      <c r="B13" s="11" t="n">
        <v>0.6</v>
      </c>
    </row>
    <row r="15" customFormat="false" ht="15" hidden="false" customHeight="false" outlineLevel="0" collapsed="false">
      <c r="A15" s="2" t="s">
        <v>24</v>
      </c>
    </row>
    <row r="16" customFormat="false" ht="15" hidden="false" customHeight="false" outlineLevel="0" collapsed="false">
      <c r="A16" s="12" t="s">
        <v>25</v>
      </c>
      <c r="B16" s="12" t="s">
        <v>26</v>
      </c>
      <c r="C16" s="12" t="s">
        <v>27</v>
      </c>
    </row>
    <row r="17" customFormat="false" ht="15" hidden="false" customHeight="false" outlineLevel="0" collapsed="false">
      <c r="A17" s="13" t="s">
        <v>28</v>
      </c>
      <c r="B17" s="14" t="n">
        <v>0.7</v>
      </c>
      <c r="C17" s="14" t="n">
        <v>1.2</v>
      </c>
    </row>
    <row r="18" customFormat="false" ht="15" hidden="false" customHeight="false" outlineLevel="0" collapsed="false">
      <c r="A18" s="13" t="s">
        <v>29</v>
      </c>
      <c r="B18" s="14" t="n">
        <v>1</v>
      </c>
      <c r="C18" s="14" t="n">
        <v>1</v>
      </c>
    </row>
    <row r="19" customFormat="false" ht="15" hidden="false" customHeight="false" outlineLevel="0" collapsed="false">
      <c r="A19" s="13" t="s">
        <v>30</v>
      </c>
      <c r="B19" s="14" t="n">
        <v>1.2</v>
      </c>
      <c r="C19" s="14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5" t="s">
        <v>31</v>
      </c>
    </row>
    <row r="2" customFormat="false" ht="15" hidden="false" customHeight="false" outlineLevel="0" collapsed="false">
      <c r="A2" s="12" t="s">
        <v>32</v>
      </c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</row>
    <row r="3" customFormat="false" ht="15" hidden="false" customHeight="false" outlineLevel="0" collapsed="false">
      <c r="A3" s="13" t="s">
        <v>38</v>
      </c>
      <c r="B3" s="15" t="n">
        <f aca="false">Inputs!$B$4</f>
        <v>75</v>
      </c>
      <c r="C3" s="13" t="s">
        <v>39</v>
      </c>
      <c r="D3" s="3"/>
      <c r="E3" s="3"/>
      <c r="F3" s="3"/>
    </row>
    <row r="4" customFormat="false" ht="15" hidden="false" customHeight="false" outlineLevel="0" collapsed="false">
      <c r="A4" s="13" t="s">
        <v>40</v>
      </c>
      <c r="B4" s="16" t="n">
        <f aca="false">Inputs!$B$5</f>
        <v>0.1</v>
      </c>
      <c r="C4" s="13" t="s">
        <v>39</v>
      </c>
      <c r="D4" s="3"/>
      <c r="E4" s="3"/>
      <c r="F4" s="3"/>
    </row>
    <row r="5" customFormat="false" ht="15" hidden="false" customHeight="false" outlineLevel="0" collapsed="false">
      <c r="A5" s="13" t="s">
        <v>41</v>
      </c>
      <c r="B5" s="16" t="n">
        <f aca="false">Inputs!$B$9</f>
        <v>0</v>
      </c>
      <c r="C5" s="13" t="s">
        <v>39</v>
      </c>
      <c r="D5" s="3"/>
      <c r="E5" s="3"/>
      <c r="F5" s="3"/>
    </row>
    <row r="6" customFormat="false" ht="15" hidden="false" customHeight="false" outlineLevel="0" collapsed="false">
      <c r="A6" s="13" t="s">
        <v>42</v>
      </c>
      <c r="B6" s="16" t="n">
        <f aca="false">Inputs!$B$10</f>
        <v>0.75</v>
      </c>
      <c r="C6" s="13" t="s">
        <v>39</v>
      </c>
      <c r="D6" s="3"/>
      <c r="E6" s="3"/>
      <c r="F6" s="3"/>
    </row>
    <row r="7" customFormat="false" ht="15" hidden="false" customHeight="false" outlineLevel="0" collapsed="false">
      <c r="A7" s="13" t="s">
        <v>43</v>
      </c>
      <c r="B7" s="16" t="n">
        <f aca="false">Inputs!$B$11</f>
        <v>0.8</v>
      </c>
      <c r="C7" s="13" t="s">
        <v>39</v>
      </c>
      <c r="D7" s="3"/>
      <c r="E7" s="3"/>
      <c r="F7" s="3"/>
    </row>
    <row r="8" customFormat="false" ht="15" hidden="false" customHeight="false" outlineLevel="0" collapsed="false">
      <c r="A8" s="13" t="s">
        <v>44</v>
      </c>
      <c r="B8" s="16" t="n">
        <f aca="false">Inputs!$B$12</f>
        <v>0.5</v>
      </c>
      <c r="C8" s="13" t="s">
        <v>39</v>
      </c>
      <c r="D8" s="3"/>
      <c r="E8" s="3"/>
      <c r="F8" s="3"/>
    </row>
    <row r="9" customFormat="false" ht="15" hidden="false" customHeight="false" outlineLevel="0" collapsed="false">
      <c r="A9" s="2" t="s">
        <v>45</v>
      </c>
      <c r="B9" s="3"/>
      <c r="C9" s="3"/>
      <c r="D9" s="3"/>
      <c r="E9" s="3"/>
      <c r="F9" s="3"/>
    </row>
    <row r="10" customFormat="false" ht="15" hidden="false" customHeight="false" outlineLevel="0" collapsed="false">
      <c r="A10" s="13" t="s">
        <v>46</v>
      </c>
      <c r="B10" s="17" t="n">
        <v>3</v>
      </c>
      <c r="C10" s="13" t="s">
        <v>47</v>
      </c>
      <c r="D10" s="3"/>
      <c r="E10" s="3"/>
      <c r="F10" s="3"/>
    </row>
    <row r="11" customFormat="false" ht="15" hidden="false" customHeight="false" outlineLevel="0" collapsed="false">
      <c r="A11" s="13" t="s">
        <v>48</v>
      </c>
      <c r="B11" s="10" t="n">
        <v>260</v>
      </c>
      <c r="C11" s="13" t="s">
        <v>49</v>
      </c>
      <c r="D11" s="3"/>
      <c r="E11" s="3"/>
      <c r="F11" s="3"/>
    </row>
    <row r="12" customFormat="false" ht="15" hidden="false" customHeight="false" outlineLevel="0" collapsed="false">
      <c r="A12" s="13" t="s">
        <v>50</v>
      </c>
      <c r="B12" s="9" t="n">
        <v>0.25</v>
      </c>
      <c r="C12" s="13" t="s">
        <v>51</v>
      </c>
      <c r="D12" s="3"/>
      <c r="E12" s="3"/>
      <c r="F12" s="3"/>
    </row>
    <row r="13" customFormat="false" ht="23.85" hidden="false" customHeight="false" outlineLevel="0" collapsed="false">
      <c r="A13" s="13" t="s">
        <v>52</v>
      </c>
      <c r="B13" s="9" t="n">
        <f aca="false">B7</f>
        <v>0.8</v>
      </c>
      <c r="C13" s="13" t="s">
        <v>53</v>
      </c>
      <c r="D13" s="3"/>
      <c r="E13" s="3"/>
      <c r="F13" s="3"/>
    </row>
    <row r="14" customFormat="false" ht="23.85" hidden="false" customHeight="false" outlineLevel="0" collapsed="false">
      <c r="A14" s="13" t="s">
        <v>20</v>
      </c>
      <c r="B14" s="11" t="n">
        <f aca="false">B5</f>
        <v>0</v>
      </c>
      <c r="C14" s="13" t="s">
        <v>53</v>
      </c>
      <c r="D14" s="3"/>
      <c r="E14" s="3"/>
      <c r="F14" s="3"/>
    </row>
    <row r="15" customFormat="false" ht="23.85" hidden="false" customHeight="false" outlineLevel="0" collapsed="false">
      <c r="A15" s="13" t="s">
        <v>21</v>
      </c>
      <c r="B15" s="11" t="n">
        <f aca="false">B6</f>
        <v>0.75</v>
      </c>
      <c r="C15" s="13" t="s">
        <v>53</v>
      </c>
      <c r="D15" s="3"/>
      <c r="E15" s="3"/>
      <c r="F15" s="3"/>
    </row>
    <row r="16" customFormat="false" ht="23.85" hidden="false" customHeight="false" outlineLevel="0" collapsed="false">
      <c r="A16" s="13" t="s">
        <v>54</v>
      </c>
      <c r="B16" s="11" t="n">
        <v>0.5</v>
      </c>
      <c r="C16" s="13" t="s">
        <v>55</v>
      </c>
      <c r="D16" s="9" t="n">
        <v>0.5</v>
      </c>
      <c r="E16" s="9" t="n">
        <v>1</v>
      </c>
      <c r="F16" s="9" t="n">
        <v>1</v>
      </c>
    </row>
    <row r="17" customFormat="false" ht="15" hidden="false" customHeight="false" outlineLevel="0" collapsed="false">
      <c r="A17" s="13" t="s">
        <v>56</v>
      </c>
      <c r="B17" s="3"/>
      <c r="C17" s="13" t="s">
        <v>57</v>
      </c>
      <c r="D17" s="18" t="n">
        <f aca="false">(B10*B11*B12*B3)*B13*B14*B15*D16</f>
        <v>0</v>
      </c>
      <c r="E17" s="18" t="n">
        <f aca="false">(B10*B11*B12*B3)*B13*B14*B15*E16</f>
        <v>0</v>
      </c>
      <c r="F17" s="18" t="n">
        <f aca="false">(B10*B11*B12*B3)*B13*B14*B15*F16</f>
        <v>0</v>
      </c>
    </row>
    <row r="18" customFormat="false" ht="15" hidden="false" customHeight="false" outlineLevel="0" collapsed="false">
      <c r="A18" s="2" t="s">
        <v>58</v>
      </c>
      <c r="B18" s="3"/>
      <c r="C18" s="3"/>
      <c r="D18" s="3"/>
      <c r="E18" s="3"/>
      <c r="F18" s="3"/>
    </row>
    <row r="19" customFormat="false" ht="15" hidden="false" customHeight="false" outlineLevel="0" collapsed="false">
      <c r="A19" s="13" t="s">
        <v>59</v>
      </c>
      <c r="B19" s="19" t="n">
        <v>320</v>
      </c>
      <c r="C19" s="13" t="s">
        <v>47</v>
      </c>
      <c r="D19" s="3"/>
      <c r="E19" s="3"/>
      <c r="F19" s="3"/>
    </row>
    <row r="20" customFormat="false" ht="15" hidden="false" customHeight="false" outlineLevel="0" collapsed="false">
      <c r="A20" s="13" t="s">
        <v>60</v>
      </c>
      <c r="B20" s="10" t="n">
        <v>12</v>
      </c>
      <c r="C20" s="13" t="s">
        <v>61</v>
      </c>
      <c r="D20" s="3"/>
      <c r="E20" s="3"/>
      <c r="F20" s="3"/>
    </row>
    <row r="21" customFormat="false" ht="15" hidden="false" customHeight="false" outlineLevel="0" collapsed="false">
      <c r="A21" s="13" t="s">
        <v>50</v>
      </c>
      <c r="B21" s="9" t="n">
        <v>0.2</v>
      </c>
      <c r="C21" s="13" t="s">
        <v>62</v>
      </c>
      <c r="D21" s="3"/>
      <c r="E21" s="3"/>
      <c r="F21" s="3"/>
    </row>
    <row r="22" customFormat="false" ht="15" hidden="false" customHeight="false" outlineLevel="0" collapsed="false">
      <c r="A22" s="13" t="s">
        <v>63</v>
      </c>
      <c r="B22" s="8" t="n">
        <v>60000</v>
      </c>
      <c r="C22" s="13" t="s">
        <v>64</v>
      </c>
      <c r="D22" s="3"/>
      <c r="E22" s="3"/>
      <c r="F22" s="3"/>
    </row>
    <row r="23" customFormat="false" ht="15" hidden="false" customHeight="false" outlineLevel="0" collapsed="false">
      <c r="A23" s="13" t="s">
        <v>65</v>
      </c>
      <c r="B23" s="11" t="n">
        <v>0.3</v>
      </c>
      <c r="C23" s="13" t="s">
        <v>62</v>
      </c>
      <c r="D23" s="3"/>
      <c r="E23" s="3"/>
      <c r="F23" s="3"/>
    </row>
    <row r="24" customFormat="false" ht="23.85" hidden="false" customHeight="false" outlineLevel="0" collapsed="false">
      <c r="A24" s="13" t="s">
        <v>52</v>
      </c>
      <c r="B24" s="11" t="n">
        <f aca="false">B7</f>
        <v>0.8</v>
      </c>
      <c r="C24" s="13" t="s">
        <v>53</v>
      </c>
      <c r="D24" s="3"/>
      <c r="E24" s="3"/>
      <c r="F24" s="3"/>
    </row>
    <row r="25" customFormat="false" ht="23.85" hidden="false" customHeight="false" outlineLevel="0" collapsed="false">
      <c r="A25" s="13" t="s">
        <v>20</v>
      </c>
      <c r="B25" s="11" t="n">
        <f aca="false">B5</f>
        <v>0</v>
      </c>
      <c r="C25" s="13" t="s">
        <v>53</v>
      </c>
      <c r="D25" s="3"/>
      <c r="E25" s="3"/>
      <c r="F25" s="3"/>
    </row>
    <row r="26" customFormat="false" ht="23.85" hidden="false" customHeight="false" outlineLevel="0" collapsed="false">
      <c r="A26" s="13" t="s">
        <v>21</v>
      </c>
      <c r="B26" s="11" t="n">
        <f aca="false">B6</f>
        <v>0.75</v>
      </c>
      <c r="C26" s="13" t="s">
        <v>53</v>
      </c>
      <c r="D26" s="3"/>
      <c r="E26" s="3"/>
      <c r="F26" s="3"/>
    </row>
    <row r="27" customFormat="false" ht="23.85" hidden="false" customHeight="false" outlineLevel="0" collapsed="false">
      <c r="A27" s="13" t="s">
        <v>54</v>
      </c>
      <c r="B27" s="11" t="n">
        <v>0.6</v>
      </c>
      <c r="C27" s="13" t="s">
        <v>55</v>
      </c>
      <c r="D27" s="9" t="n">
        <v>0.6</v>
      </c>
      <c r="E27" s="9" t="n">
        <v>1</v>
      </c>
      <c r="F27" s="9" t="n">
        <v>1</v>
      </c>
    </row>
    <row r="28" customFormat="false" ht="15" hidden="false" customHeight="false" outlineLevel="0" collapsed="false">
      <c r="A28" s="13" t="s">
        <v>56</v>
      </c>
      <c r="B28" s="3"/>
      <c r="C28" s="13" t="s">
        <v>57</v>
      </c>
      <c r="D28" s="18" t="n">
        <f aca="false">((B19*B20*B21*B3)*B24+(B22*B23))*B25*B26*D27</f>
        <v>0</v>
      </c>
      <c r="E28" s="18" t="n">
        <f aca="false">((B19*B20*B21*B3)*B24+(B22*B23))*B25*B26*E27</f>
        <v>0</v>
      </c>
      <c r="F28" s="18" t="n">
        <f aca="false">((B19*B20*B21*B3)*B24+(B22*B23))*B25*B26*F27</f>
        <v>0</v>
      </c>
    </row>
    <row r="29" customFormat="false" ht="15" hidden="false" customHeight="false" outlineLevel="0" collapsed="false">
      <c r="A29" s="2" t="s">
        <v>66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13" t="s">
        <v>67</v>
      </c>
      <c r="B30" s="9" t="n">
        <v>0.12</v>
      </c>
      <c r="C30" s="13" t="s">
        <v>62</v>
      </c>
      <c r="D30" s="3"/>
      <c r="E30" s="3"/>
      <c r="F30" s="3"/>
    </row>
    <row r="31" customFormat="false" ht="15" hidden="false" customHeight="false" outlineLevel="0" collapsed="false">
      <c r="A31" s="13" t="s">
        <v>68</v>
      </c>
      <c r="B31" s="9" t="n">
        <v>0.08</v>
      </c>
      <c r="C31" s="13" t="s">
        <v>62</v>
      </c>
      <c r="D31" s="3"/>
      <c r="E31" s="3"/>
      <c r="F31" s="3"/>
    </row>
    <row r="32" customFormat="false" ht="23.85" hidden="false" customHeight="false" outlineLevel="0" collapsed="false">
      <c r="A32" s="13" t="s">
        <v>69</v>
      </c>
      <c r="B32" s="8" t="n">
        <v>500000</v>
      </c>
      <c r="C32" s="13" t="s">
        <v>70</v>
      </c>
      <c r="D32" s="3"/>
      <c r="E32" s="3"/>
      <c r="F32" s="3"/>
    </row>
    <row r="33" customFormat="false" ht="23.85" hidden="false" customHeight="false" outlineLevel="0" collapsed="false">
      <c r="A33" s="13" t="s">
        <v>71</v>
      </c>
      <c r="B33" s="11" t="n">
        <f aca="false">B8</f>
        <v>0.5</v>
      </c>
      <c r="C33" s="13" t="s">
        <v>53</v>
      </c>
      <c r="D33" s="3"/>
      <c r="E33" s="3"/>
      <c r="F33" s="3"/>
    </row>
    <row r="34" customFormat="false" ht="23.85" hidden="false" customHeight="false" outlineLevel="0" collapsed="false">
      <c r="A34" s="13" t="s">
        <v>20</v>
      </c>
      <c r="B34" s="11" t="n">
        <f aca="false">B5</f>
        <v>0</v>
      </c>
      <c r="C34" s="13" t="s">
        <v>53</v>
      </c>
      <c r="D34" s="3"/>
      <c r="E34" s="3"/>
      <c r="F34" s="3"/>
    </row>
    <row r="35" customFormat="false" ht="23.85" hidden="false" customHeight="false" outlineLevel="0" collapsed="false">
      <c r="A35" s="13" t="s">
        <v>21</v>
      </c>
      <c r="B35" s="11" t="n">
        <f aca="false">B6</f>
        <v>0.75</v>
      </c>
      <c r="C35" s="13" t="s">
        <v>53</v>
      </c>
      <c r="D35" s="3"/>
      <c r="E35" s="3"/>
      <c r="F35" s="3"/>
    </row>
    <row r="36" customFormat="false" ht="23.85" hidden="false" customHeight="false" outlineLevel="0" collapsed="false">
      <c r="A36" s="13" t="s">
        <v>54</v>
      </c>
      <c r="B36" s="11" t="n">
        <v>0.4</v>
      </c>
      <c r="C36" s="13" t="s">
        <v>55</v>
      </c>
      <c r="D36" s="9" t="n">
        <v>0.4</v>
      </c>
      <c r="E36" s="9" t="n">
        <v>0.8</v>
      </c>
      <c r="F36" s="9" t="n">
        <v>1</v>
      </c>
    </row>
    <row r="37" customFormat="false" ht="15" hidden="false" customHeight="false" outlineLevel="0" collapsed="false">
      <c r="A37" s="13" t="s">
        <v>56</v>
      </c>
      <c r="B37" s="3"/>
      <c r="C37" s="13" t="s">
        <v>57</v>
      </c>
      <c r="D37" s="18" t="n">
        <f aca="false">MAX(0,(B30-B31))*B32*B33*B34*B35*D36</f>
        <v>0</v>
      </c>
      <c r="E37" s="18" t="n">
        <f aca="false">MAX(0,(B30-B31))*B32*B33*B34*B35*E36</f>
        <v>0</v>
      </c>
      <c r="F37" s="18" t="n">
        <f aca="false">MAX(0,(B30-B31))*B32*B33*B34*B35*F36</f>
        <v>0</v>
      </c>
    </row>
    <row r="38" customFormat="false" ht="15" hidden="false" customHeight="false" outlineLevel="0" collapsed="false">
      <c r="A38" s="2" t="s">
        <v>72</v>
      </c>
      <c r="B38" s="3"/>
      <c r="C38" s="3"/>
      <c r="D38" s="3"/>
      <c r="E38" s="3"/>
      <c r="F38" s="3"/>
    </row>
    <row r="39" customFormat="false" ht="15" hidden="false" customHeight="false" outlineLevel="0" collapsed="false">
      <c r="A39" s="13" t="s">
        <v>73</v>
      </c>
      <c r="B39" s="8" t="n">
        <v>20000000</v>
      </c>
      <c r="C39" s="13" t="s">
        <v>57</v>
      </c>
      <c r="D39" s="3"/>
      <c r="E39" s="3"/>
      <c r="F39" s="3"/>
    </row>
    <row r="40" customFormat="false" ht="15" hidden="false" customHeight="false" outlineLevel="0" collapsed="false">
      <c r="A40" s="13" t="s">
        <v>74</v>
      </c>
      <c r="B40" s="19" t="n">
        <v>5</v>
      </c>
      <c r="C40" s="13" t="s">
        <v>75</v>
      </c>
      <c r="D40" s="3"/>
      <c r="E40" s="3"/>
      <c r="F40" s="3"/>
    </row>
    <row r="41" customFormat="false" ht="15" hidden="false" customHeight="false" outlineLevel="0" collapsed="false">
      <c r="A41" s="13" t="s">
        <v>76</v>
      </c>
      <c r="B41" s="20" t="n">
        <v>250000</v>
      </c>
      <c r="C41" s="13" t="s">
        <v>57</v>
      </c>
      <c r="D41" s="3"/>
      <c r="E41" s="3"/>
      <c r="F41" s="3"/>
    </row>
    <row r="42" customFormat="false" ht="15" hidden="false" customHeight="false" outlineLevel="0" collapsed="false">
      <c r="A42" s="13" t="s">
        <v>77</v>
      </c>
      <c r="B42" s="11" t="n">
        <v>0.2</v>
      </c>
      <c r="C42" s="13" t="s">
        <v>62</v>
      </c>
      <c r="D42" s="3"/>
      <c r="E42" s="3"/>
      <c r="F42" s="3"/>
    </row>
    <row r="43" customFormat="false" ht="15" hidden="false" customHeight="false" outlineLevel="0" collapsed="false">
      <c r="A43" s="13" t="s">
        <v>78</v>
      </c>
      <c r="B43" s="20" t="n">
        <v>150000</v>
      </c>
      <c r="C43" s="13" t="s">
        <v>57</v>
      </c>
      <c r="D43" s="3"/>
      <c r="E43" s="3"/>
      <c r="F43" s="3"/>
    </row>
    <row r="44" customFormat="false" ht="15" hidden="false" customHeight="false" outlineLevel="0" collapsed="false">
      <c r="A44" s="13" t="s">
        <v>79</v>
      </c>
      <c r="B44" s="11" t="n">
        <v>0.15</v>
      </c>
      <c r="C44" s="13" t="s">
        <v>62</v>
      </c>
      <c r="D44" s="3"/>
      <c r="E44" s="3"/>
      <c r="F44" s="3"/>
    </row>
    <row r="45" customFormat="false" ht="23.85" hidden="false" customHeight="false" outlineLevel="0" collapsed="false">
      <c r="A45" s="13" t="s">
        <v>20</v>
      </c>
      <c r="B45" s="11" t="n">
        <f aca="false">B5</f>
        <v>0</v>
      </c>
      <c r="C45" s="13" t="s">
        <v>53</v>
      </c>
      <c r="D45" s="3"/>
      <c r="E45" s="3"/>
      <c r="F45" s="3"/>
    </row>
    <row r="46" customFormat="false" ht="23.85" hidden="false" customHeight="false" outlineLevel="0" collapsed="false">
      <c r="A46" s="13" t="s">
        <v>21</v>
      </c>
      <c r="B46" s="11" t="n">
        <f aca="false">B6</f>
        <v>0.75</v>
      </c>
      <c r="C46" s="13" t="s">
        <v>53</v>
      </c>
      <c r="D46" s="3"/>
      <c r="E46" s="3"/>
      <c r="F46" s="3"/>
    </row>
    <row r="47" customFormat="false" ht="23.85" hidden="false" customHeight="false" outlineLevel="0" collapsed="false">
      <c r="A47" s="13" t="s">
        <v>54</v>
      </c>
      <c r="B47" s="11" t="n">
        <v>0.3</v>
      </c>
      <c r="C47" s="13" t="s">
        <v>55</v>
      </c>
      <c r="D47" s="9" t="n">
        <v>0.3</v>
      </c>
      <c r="E47" s="9" t="n">
        <v>0.8</v>
      </c>
      <c r="F47" s="9" t="n">
        <v>1</v>
      </c>
    </row>
    <row r="48" customFormat="false" ht="15" hidden="false" customHeight="false" outlineLevel="0" collapsed="false">
      <c r="A48" s="13" t="s">
        <v>56</v>
      </c>
      <c r="B48" s="3"/>
      <c r="C48" s="13" t="s">
        <v>57</v>
      </c>
      <c r="D48" s="18" t="n">
        <f aca="false">(((B40*B39/365)*B4)+(B41*B42)+(B43*B44))*B45*B46*D47</f>
        <v>0</v>
      </c>
      <c r="E48" s="18" t="n">
        <f aca="false">(((B40*B39/365)*B4)+(B41*B42)+(B43*B44))*B45*B46*E47</f>
        <v>0</v>
      </c>
      <c r="F48" s="18" t="n">
        <f aca="false">(((B40*B39/365)*B4)+(B41*B42)+(B43*B44))*B45*B46*F47</f>
        <v>0</v>
      </c>
    </row>
    <row r="49" customFormat="false" ht="15" hidden="false" customHeight="false" outlineLevel="0" collapsed="false">
      <c r="A49" s="2" t="s">
        <v>80</v>
      </c>
      <c r="B49" s="3"/>
      <c r="C49" s="3"/>
      <c r="D49" s="3"/>
      <c r="E49" s="3"/>
      <c r="F49" s="3"/>
    </row>
    <row r="50" customFormat="false" ht="15" hidden="false" customHeight="false" outlineLevel="0" collapsed="false">
      <c r="A50" s="13" t="s">
        <v>81</v>
      </c>
      <c r="B50" s="8" t="n">
        <v>30000000</v>
      </c>
      <c r="C50" s="13" t="s">
        <v>57</v>
      </c>
      <c r="D50" s="3"/>
      <c r="E50" s="3"/>
      <c r="F50" s="3"/>
    </row>
    <row r="51" customFormat="false" ht="15" hidden="false" customHeight="false" outlineLevel="0" collapsed="false">
      <c r="A51" s="13" t="s">
        <v>82</v>
      </c>
      <c r="B51" s="19" t="n">
        <v>4</v>
      </c>
      <c r="C51" s="13" t="s">
        <v>75</v>
      </c>
      <c r="D51" s="3"/>
      <c r="E51" s="3"/>
      <c r="F51" s="3"/>
    </row>
    <row r="52" customFormat="false" ht="15" hidden="false" customHeight="false" outlineLevel="0" collapsed="false">
      <c r="A52" s="13" t="s">
        <v>83</v>
      </c>
      <c r="B52" s="20" t="n">
        <v>5000000</v>
      </c>
      <c r="C52" s="13" t="s">
        <v>84</v>
      </c>
      <c r="D52" s="3"/>
      <c r="E52" s="3"/>
      <c r="F52" s="3"/>
    </row>
    <row r="53" customFormat="false" ht="23.85" hidden="false" customHeight="false" outlineLevel="0" collapsed="false">
      <c r="A53" s="13" t="s">
        <v>85</v>
      </c>
      <c r="B53" s="11" t="n">
        <f aca="false">B4</f>
        <v>0.1</v>
      </c>
      <c r="C53" s="13" t="s">
        <v>86</v>
      </c>
      <c r="D53" s="3"/>
      <c r="E53" s="3"/>
      <c r="F53" s="3"/>
    </row>
    <row r="54" customFormat="false" ht="15" hidden="false" customHeight="false" outlineLevel="0" collapsed="false">
      <c r="A54" s="13" t="s">
        <v>87</v>
      </c>
      <c r="B54" s="11" t="n">
        <v>0.1</v>
      </c>
      <c r="C54" s="13" t="s">
        <v>62</v>
      </c>
      <c r="D54" s="3"/>
      <c r="E54" s="3"/>
      <c r="F54" s="3"/>
    </row>
    <row r="55" customFormat="false" ht="15" hidden="false" customHeight="false" outlineLevel="0" collapsed="false">
      <c r="A55" s="13" t="s">
        <v>88</v>
      </c>
      <c r="B55" s="20" t="n">
        <v>200000</v>
      </c>
      <c r="C55" s="13" t="s">
        <v>57</v>
      </c>
      <c r="D55" s="3"/>
      <c r="E55" s="3"/>
      <c r="F55" s="3"/>
    </row>
    <row r="56" customFormat="false" ht="15" hidden="false" customHeight="false" outlineLevel="0" collapsed="false">
      <c r="A56" s="13" t="s">
        <v>89</v>
      </c>
      <c r="B56" s="11" t="n">
        <v>0.1</v>
      </c>
      <c r="C56" s="13" t="s">
        <v>62</v>
      </c>
      <c r="D56" s="3"/>
      <c r="E56" s="3"/>
      <c r="F56" s="3"/>
    </row>
    <row r="57" customFormat="false" ht="23.85" hidden="false" customHeight="false" outlineLevel="0" collapsed="false">
      <c r="A57" s="13" t="s">
        <v>20</v>
      </c>
      <c r="B57" s="11" t="n">
        <f aca="false">B5</f>
        <v>0</v>
      </c>
      <c r="C57" s="13" t="s">
        <v>53</v>
      </c>
      <c r="D57" s="3"/>
      <c r="E57" s="3"/>
      <c r="F57" s="3"/>
    </row>
    <row r="58" customFormat="false" ht="23.85" hidden="false" customHeight="false" outlineLevel="0" collapsed="false">
      <c r="A58" s="13" t="s">
        <v>21</v>
      </c>
      <c r="B58" s="11" t="n">
        <f aca="false">B6</f>
        <v>0.75</v>
      </c>
      <c r="C58" s="13" t="s">
        <v>53</v>
      </c>
      <c r="D58" s="3"/>
      <c r="E58" s="3"/>
      <c r="F58" s="3"/>
    </row>
    <row r="59" customFormat="false" ht="23.85" hidden="false" customHeight="false" outlineLevel="0" collapsed="false">
      <c r="A59" s="13" t="s">
        <v>54</v>
      </c>
      <c r="B59" s="11" t="n">
        <v>0.4</v>
      </c>
      <c r="C59" s="13" t="s">
        <v>55</v>
      </c>
      <c r="D59" s="9" t="n">
        <v>0.4</v>
      </c>
      <c r="E59" s="9" t="n">
        <v>0.9</v>
      </c>
      <c r="F59" s="9" t="n">
        <v>1</v>
      </c>
    </row>
    <row r="60" customFormat="false" ht="15" hidden="false" customHeight="false" outlineLevel="0" collapsed="false">
      <c r="A60" s="13" t="s">
        <v>56</v>
      </c>
      <c r="B60" s="3"/>
      <c r="C60" s="13" t="s">
        <v>57</v>
      </c>
      <c r="D60" s="18" t="n">
        <f aca="false">(((B51*B50/365)*B4)+(B52*B54*B53)+(B55*B56))*B57*B58*D59</f>
        <v>0</v>
      </c>
      <c r="E60" s="18" t="n">
        <f aca="false">(((B51*B50/365)*B4)+(B52*B54*B53)+(B55*B56))*B57*B58*E59</f>
        <v>0</v>
      </c>
      <c r="F60" s="18" t="n">
        <f aca="false">(((B51*B50/365)*B4)+(B52*B54*B53)+(B55*B56))*B57*B58*F59</f>
        <v>0</v>
      </c>
    </row>
    <row r="61" customFormat="false" ht="15" hidden="false" customHeight="false" outlineLevel="0" collapsed="false">
      <c r="A61" s="2" t="s">
        <v>90</v>
      </c>
      <c r="B61" s="3"/>
      <c r="C61" s="3"/>
      <c r="D61" s="3"/>
      <c r="E61" s="3"/>
      <c r="F61" s="3"/>
    </row>
    <row r="62" customFormat="false" ht="23.85" hidden="false" customHeight="false" outlineLevel="0" collapsed="false">
      <c r="A62" s="13" t="s">
        <v>91</v>
      </c>
      <c r="B62" s="19" t="n">
        <v>80</v>
      </c>
      <c r="C62" s="13" t="s">
        <v>92</v>
      </c>
      <c r="D62" s="3"/>
      <c r="E62" s="3"/>
      <c r="F62" s="3"/>
    </row>
    <row r="63" customFormat="false" ht="15" hidden="false" customHeight="false" outlineLevel="0" collapsed="false">
      <c r="A63" s="13" t="s">
        <v>93</v>
      </c>
      <c r="B63" s="10" t="n">
        <v>12</v>
      </c>
      <c r="C63" s="13" t="s">
        <v>61</v>
      </c>
      <c r="D63" s="3"/>
      <c r="E63" s="3"/>
      <c r="F63" s="3"/>
    </row>
    <row r="64" customFormat="false" ht="15" hidden="false" customHeight="false" outlineLevel="0" collapsed="false">
      <c r="A64" s="13" t="s">
        <v>50</v>
      </c>
      <c r="B64" s="9" t="n">
        <v>0.25</v>
      </c>
      <c r="C64" s="13" t="s">
        <v>62</v>
      </c>
      <c r="D64" s="3"/>
      <c r="E64" s="3"/>
      <c r="F64" s="3"/>
    </row>
    <row r="65" customFormat="false" ht="23.85" hidden="false" customHeight="false" outlineLevel="0" collapsed="false">
      <c r="A65" s="13" t="s">
        <v>52</v>
      </c>
      <c r="B65" s="11" t="n">
        <f aca="false">B7</f>
        <v>0.8</v>
      </c>
      <c r="C65" s="13" t="s">
        <v>53</v>
      </c>
      <c r="D65" s="3"/>
      <c r="E65" s="3"/>
      <c r="F65" s="3"/>
    </row>
    <row r="66" customFormat="false" ht="23.85" hidden="false" customHeight="false" outlineLevel="0" collapsed="false">
      <c r="A66" s="13" t="s">
        <v>20</v>
      </c>
      <c r="B66" s="11" t="n">
        <f aca="false">B5</f>
        <v>0</v>
      </c>
      <c r="C66" s="13" t="s">
        <v>53</v>
      </c>
      <c r="D66" s="3"/>
      <c r="E66" s="3"/>
      <c r="F66" s="3"/>
    </row>
    <row r="67" customFormat="false" ht="23.85" hidden="false" customHeight="false" outlineLevel="0" collapsed="false">
      <c r="A67" s="13" t="s">
        <v>21</v>
      </c>
      <c r="B67" s="11" t="n">
        <f aca="false">B6</f>
        <v>0.75</v>
      </c>
      <c r="C67" s="13" t="s">
        <v>53</v>
      </c>
      <c r="D67" s="3"/>
      <c r="E67" s="3"/>
      <c r="F67" s="3"/>
    </row>
    <row r="68" customFormat="false" ht="23.85" hidden="false" customHeight="false" outlineLevel="0" collapsed="false">
      <c r="A68" s="13" t="s">
        <v>54</v>
      </c>
      <c r="B68" s="11" t="n">
        <v>0.6</v>
      </c>
      <c r="C68" s="13" t="s">
        <v>55</v>
      </c>
      <c r="D68" s="9" t="n">
        <v>0.6</v>
      </c>
      <c r="E68" s="9" t="n">
        <v>1</v>
      </c>
      <c r="F68" s="9" t="n">
        <v>1</v>
      </c>
    </row>
    <row r="69" customFormat="false" ht="15" hidden="false" customHeight="false" outlineLevel="0" collapsed="false">
      <c r="A69" s="13" t="s">
        <v>56</v>
      </c>
      <c r="B69" s="3"/>
      <c r="C69" s="13" t="s">
        <v>57</v>
      </c>
      <c r="D69" s="18" t="n">
        <f aca="false">(B62*B63*B64*B3)*B65*B66*B67*D68</f>
        <v>0</v>
      </c>
      <c r="E69" s="18" t="n">
        <f aca="false">(B62*B63*B64*B3)*B65*B66*B67*E68</f>
        <v>0</v>
      </c>
      <c r="F69" s="18" t="n">
        <f aca="false">(B62*B63*B64*B3)*B65*B66*B67*F68</f>
        <v>0</v>
      </c>
    </row>
    <row r="70" customFormat="false" ht="15" hidden="false" customHeight="false" outlineLevel="0" collapsed="false">
      <c r="A70" s="2" t="s">
        <v>94</v>
      </c>
      <c r="B70" s="3"/>
      <c r="C70" s="3"/>
      <c r="D70" s="3"/>
      <c r="E70" s="3"/>
      <c r="F70" s="3"/>
    </row>
    <row r="71" customFormat="false" ht="15" hidden="false" customHeight="false" outlineLevel="0" collapsed="false">
      <c r="A71" s="13" t="s">
        <v>95</v>
      </c>
      <c r="B71" s="3"/>
      <c r="C71" s="13" t="s">
        <v>57</v>
      </c>
      <c r="D71" s="18" t="n">
        <f aca="false">SUM(D17,D28,D37,D48,D60,D69)</f>
        <v>0</v>
      </c>
      <c r="E71" s="18" t="n">
        <f aca="false">SUM(E17,E28,E37,E48,E60,E69)</f>
        <v>0</v>
      </c>
      <c r="F71" s="18" t="n">
        <f aca="false">SUM(F17,F28,F37,F48,F60,F69)</f>
        <v>0</v>
      </c>
    </row>
  </sheetData>
  <dataValidations count="1">
    <dataValidation allowBlank="true" errorStyle="stop" operator="between" showDropDown="false" showErrorMessage="false" showInputMessage="false" sqref="B3:B200" type="whole">
      <formula1>0</formula1>
      <formula2>365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5" t="s">
        <v>96</v>
      </c>
    </row>
    <row r="2" customFormat="false" ht="15" hidden="false" customHeight="false" outlineLevel="0" collapsed="false">
      <c r="A2" s="12" t="s">
        <v>97</v>
      </c>
      <c r="B2" s="12" t="s">
        <v>98</v>
      </c>
      <c r="C2" s="12" t="s">
        <v>35</v>
      </c>
      <c r="D2" s="12" t="s">
        <v>36</v>
      </c>
      <c r="E2" s="12" t="s">
        <v>37</v>
      </c>
    </row>
    <row r="3" customFormat="false" ht="15" hidden="false" customHeight="false" outlineLevel="0" collapsed="false">
      <c r="A3" s="13" t="s">
        <v>99</v>
      </c>
      <c r="B3" s="21" t="n">
        <v>0</v>
      </c>
      <c r="C3" s="3"/>
      <c r="D3" s="3"/>
      <c r="E3" s="3"/>
    </row>
    <row r="4" customFormat="false" ht="15" hidden="false" customHeight="false" outlineLevel="0" collapsed="false">
      <c r="A4" s="13" t="s">
        <v>100</v>
      </c>
      <c r="B4" s="8" t="n">
        <v>0</v>
      </c>
      <c r="C4" s="3"/>
      <c r="D4" s="3"/>
      <c r="E4" s="3"/>
    </row>
    <row r="5" customFormat="false" ht="15" hidden="false" customHeight="false" outlineLevel="0" collapsed="false">
      <c r="A5" s="13" t="s">
        <v>101</v>
      </c>
      <c r="B5" s="8" t="n">
        <v>0</v>
      </c>
      <c r="C5" s="3"/>
      <c r="D5" s="3"/>
      <c r="E5" s="3"/>
    </row>
    <row r="6" customFormat="false" ht="15" hidden="false" customHeight="false" outlineLevel="0" collapsed="false">
      <c r="A6" s="13" t="s">
        <v>102</v>
      </c>
      <c r="B6" s="21" t="n">
        <v>0</v>
      </c>
      <c r="C6" s="3"/>
      <c r="D6" s="3"/>
      <c r="E6" s="3"/>
    </row>
    <row r="7" customFormat="false" ht="15" hidden="false" customHeight="false" outlineLevel="0" collapsed="false">
      <c r="A7" s="13" t="s">
        <v>103</v>
      </c>
      <c r="B7" s="8" t="n">
        <v>0</v>
      </c>
      <c r="C7" s="3"/>
      <c r="D7" s="3"/>
      <c r="E7" s="3"/>
    </row>
    <row r="8" customFormat="false" ht="15" hidden="false" customHeight="false" outlineLevel="0" collapsed="false">
      <c r="A8" s="13" t="s">
        <v>104</v>
      </c>
      <c r="B8" s="21" t="n">
        <v>0</v>
      </c>
      <c r="C8" s="3"/>
      <c r="D8" s="3"/>
      <c r="E8" s="3"/>
    </row>
    <row r="9" customFormat="false" ht="15" hidden="false" customHeight="false" outlineLevel="0" collapsed="false">
      <c r="A9" s="2" t="s">
        <v>105</v>
      </c>
      <c r="B9" s="3"/>
      <c r="C9" s="3"/>
      <c r="D9" s="3"/>
      <c r="E9" s="3"/>
    </row>
    <row r="10" customFormat="false" ht="15" hidden="false" customHeight="false" outlineLevel="0" collapsed="false">
      <c r="A10" s="13" t="s">
        <v>106</v>
      </c>
      <c r="B10" s="3"/>
      <c r="C10" s="8" t="n">
        <v>0</v>
      </c>
      <c r="D10" s="8" t="n">
        <v>0</v>
      </c>
      <c r="E10" s="8" t="n">
        <v>0</v>
      </c>
    </row>
    <row r="11" customFormat="false" ht="15" hidden="false" customHeight="false" outlineLevel="0" collapsed="false">
      <c r="A11" s="13" t="s">
        <v>107</v>
      </c>
      <c r="B11" s="3"/>
      <c r="C11" s="21" t="n">
        <v>0</v>
      </c>
      <c r="D11" s="21" t="n">
        <v>0</v>
      </c>
      <c r="E11" s="21" t="n">
        <v>0</v>
      </c>
    </row>
    <row r="12" customFormat="false" ht="15" hidden="false" customHeight="false" outlineLevel="0" collapsed="false">
      <c r="A12" s="13" t="s">
        <v>108</v>
      </c>
      <c r="B12" s="3"/>
      <c r="C12" s="8" t="n">
        <v>0</v>
      </c>
      <c r="D12" s="8" t="n">
        <v>0</v>
      </c>
      <c r="E12" s="8" t="n">
        <v>0</v>
      </c>
    </row>
    <row r="13" customFormat="false" ht="15" hidden="false" customHeight="false" outlineLevel="0" collapsed="false">
      <c r="A13" s="13" t="s">
        <v>109</v>
      </c>
      <c r="B13" s="3"/>
      <c r="C13" s="21" t="n">
        <v>0</v>
      </c>
      <c r="D13" s="21" t="n">
        <v>0</v>
      </c>
      <c r="E13" s="21" t="n">
        <v>0</v>
      </c>
    </row>
    <row r="14" customFormat="false" ht="15" hidden="false" customHeight="false" outlineLevel="0" collapsed="false">
      <c r="A14" s="13" t="s">
        <v>110</v>
      </c>
      <c r="B14" s="3"/>
      <c r="C14" s="21" t="n">
        <v>0</v>
      </c>
      <c r="D14" s="21" t="n">
        <v>0</v>
      </c>
      <c r="E14" s="21" t="n">
        <v>0</v>
      </c>
    </row>
    <row r="15" customFormat="false" ht="15" hidden="false" customHeight="false" outlineLevel="0" collapsed="false">
      <c r="A15" s="2" t="s">
        <v>111</v>
      </c>
      <c r="B15" s="18" t="n">
        <f aca="false">SUM(B3:B13)</f>
        <v>0</v>
      </c>
      <c r="C15" s="18" t="n">
        <f aca="false">SUM(C10:C14)</f>
        <v>0</v>
      </c>
      <c r="D15" s="18" t="n">
        <f aca="false">SUM(D10:D14)</f>
        <v>0</v>
      </c>
      <c r="E15" s="18" t="n">
        <f aca="false">SUM(E10:E14)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5" t="s">
        <v>112</v>
      </c>
    </row>
    <row r="2" customFormat="false" ht="15" hidden="false" customHeight="false" outlineLevel="0" collapsed="false">
      <c r="A2" s="12" t="s">
        <v>113</v>
      </c>
      <c r="B2" s="12" t="s">
        <v>98</v>
      </c>
      <c r="C2" s="12" t="s">
        <v>35</v>
      </c>
      <c r="D2" s="12" t="s">
        <v>36</v>
      </c>
      <c r="E2" s="12" t="s">
        <v>37</v>
      </c>
    </row>
    <row r="3" customFormat="false" ht="15" hidden="false" customHeight="false" outlineLevel="0" collapsed="false">
      <c r="A3" s="13" t="s">
        <v>95</v>
      </c>
      <c r="B3" s="18"/>
      <c r="C3" s="18" t="n">
        <f aca="false">UseCases!D71</f>
        <v>0</v>
      </c>
      <c r="D3" s="18" t="n">
        <f aca="false">UseCases!E71</f>
        <v>0</v>
      </c>
      <c r="E3" s="18" t="n">
        <f aca="false">UseCases!F71</f>
        <v>0</v>
      </c>
    </row>
    <row r="4" customFormat="false" ht="15" hidden="false" customHeight="false" outlineLevel="0" collapsed="false">
      <c r="A4" s="13" t="s">
        <v>114</v>
      </c>
      <c r="B4" s="15" t="n">
        <f aca="false">Costs!B15</f>
        <v>0</v>
      </c>
      <c r="C4" s="15" t="n">
        <f aca="false">Costs!C15</f>
        <v>0</v>
      </c>
      <c r="D4" s="15" t="n">
        <f aca="false">Costs!D15</f>
        <v>0</v>
      </c>
      <c r="E4" s="15" t="n">
        <f aca="false">Costs!E15</f>
        <v>0</v>
      </c>
    </row>
    <row r="5" customFormat="false" ht="15" hidden="false" customHeight="false" outlineLevel="0" collapsed="false">
      <c r="A5" s="13" t="s">
        <v>115</v>
      </c>
      <c r="B5" s="18"/>
      <c r="C5" s="18" t="n">
        <f aca="false">C3-C4</f>
        <v>0</v>
      </c>
      <c r="D5" s="18" t="n">
        <f aca="false">D3-D4</f>
        <v>0</v>
      </c>
      <c r="E5" s="18" t="n">
        <f aca="false">E3-E4</f>
        <v>0</v>
      </c>
    </row>
    <row r="7" customFormat="false" ht="15" hidden="false" customHeight="false" outlineLevel="0" collapsed="false">
      <c r="A7" s="2" t="s">
        <v>116</v>
      </c>
      <c r="B7" s="3"/>
      <c r="C7" s="3"/>
      <c r="D7" s="3"/>
      <c r="E7" s="3"/>
    </row>
    <row r="8" customFormat="false" ht="15" hidden="false" customHeight="false" outlineLevel="0" collapsed="false">
      <c r="A8" s="13" t="s">
        <v>117</v>
      </c>
      <c r="B8" s="22" t="str">
        <f aca="false">IF(B4=0,"",C5/B4)</f>
        <v/>
      </c>
      <c r="C8" s="3"/>
      <c r="D8" s="3"/>
      <c r="E8" s="3"/>
    </row>
    <row r="9" customFormat="false" ht="23.85" hidden="false" customHeight="false" outlineLevel="0" collapsed="false">
      <c r="A9" s="13" t="s">
        <v>118</v>
      </c>
      <c r="B9" s="23" t="str">
        <f aca="false">IF(B4=0,"",B4/(C5/12))</f>
        <v/>
      </c>
      <c r="C9" s="3"/>
      <c r="D9" s="3"/>
      <c r="E9" s="3"/>
    </row>
    <row r="10" customFormat="false" ht="23.85" hidden="false" customHeight="false" outlineLevel="0" collapsed="false">
      <c r="A10" s="13" t="s">
        <v>119</v>
      </c>
      <c r="B10" s="24" t="str">
        <f aca="false">IF(B4=0,"",-B4 + C5/(1+Inputs!B6)^1 + D5/(1+Inputs!B6)^2 + E5/(1+Inputs!B6)^3)</f>
        <v/>
      </c>
      <c r="C10" s="3"/>
      <c r="D10" s="3"/>
      <c r="E10" s="3"/>
    </row>
    <row r="12" customFormat="false" ht="15" hidden="false" customHeight="false" outlineLevel="0" collapsed="false">
      <c r="A12" s="2" t="s">
        <v>120</v>
      </c>
      <c r="B12" s="3"/>
      <c r="C12" s="3"/>
      <c r="D12" s="3"/>
      <c r="E12" s="3"/>
    </row>
    <row r="13" customFormat="false" ht="15" hidden="false" customHeight="false" outlineLevel="0" collapsed="false">
      <c r="A13" s="12" t="s">
        <v>25</v>
      </c>
      <c r="B13" s="12" t="s">
        <v>121</v>
      </c>
      <c r="C13" s="12" t="s">
        <v>122</v>
      </c>
      <c r="D13" s="12" t="s">
        <v>123</v>
      </c>
    </row>
    <row r="14" customFormat="false" ht="15" hidden="false" customHeight="false" outlineLevel="0" collapsed="false">
      <c r="A14" s="3" t="str">
        <f aca="false">Inputs!A17</f>
        <v>Downside</v>
      </c>
      <c r="B14" s="25" t="n">
        <f aca="false">Inputs!B17</f>
        <v>0.7</v>
      </c>
      <c r="C14" s="25" t="n">
        <f aca="false">Inputs!C17</f>
        <v>1.2</v>
      </c>
      <c r="D14" s="26" t="str">
        <f aca="false">IF(Costs!B15=0,"",((UseCases!D71*B14 - Costs!C15*C14)/(Costs!B15*C14)))</f>
        <v/>
      </c>
    </row>
    <row r="15" customFormat="false" ht="15" hidden="false" customHeight="false" outlineLevel="0" collapsed="false">
      <c r="A15" s="3" t="str">
        <f aca="false">Inputs!A18</f>
        <v>Base</v>
      </c>
      <c r="B15" s="25" t="n">
        <f aca="false">Inputs!B18</f>
        <v>1</v>
      </c>
      <c r="C15" s="25" t="n">
        <f aca="false">Inputs!C18</f>
        <v>1</v>
      </c>
      <c r="D15" s="26" t="str">
        <f aca="false">IF(Costs!B15=0,"",((UseCases!D71*B15 - Costs!C15*C15)/(Costs!B15*C15)))</f>
        <v/>
      </c>
    </row>
    <row r="16" customFormat="false" ht="15" hidden="false" customHeight="false" outlineLevel="0" collapsed="false">
      <c r="A16" s="3" t="str">
        <f aca="false">Inputs!A19</f>
        <v>Upside</v>
      </c>
      <c r="B16" s="25" t="n">
        <f aca="false">Inputs!B19</f>
        <v>1.2</v>
      </c>
      <c r="C16" s="25" t="n">
        <f aca="false">Inputs!C19</f>
        <v>0.9</v>
      </c>
      <c r="D16" s="26" t="str">
        <f aca="false">IF(Costs!B15=0,"",((UseCases!D71*B16 - Costs!C15*C16)/(Costs!B15*C16)))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2.51"/>
  </cols>
  <sheetData>
    <row r="1" customFormat="false" ht="17.35" hidden="false" customHeight="false" outlineLevel="0" collapsed="false">
      <c r="A1" s="5" t="s">
        <v>124</v>
      </c>
    </row>
    <row r="3" customFormat="false" ht="15" hidden="false" customHeight="false" outlineLevel="0" collapsed="false">
      <c r="A3" s="12" t="s">
        <v>125</v>
      </c>
      <c r="B3" s="12" t="s">
        <v>126</v>
      </c>
    </row>
    <row r="4" customFormat="false" ht="23.85" hidden="false" customHeight="false" outlineLevel="0" collapsed="false">
      <c r="A4" s="13" t="s">
        <v>127</v>
      </c>
      <c r="B4" s="13" t="s">
        <v>128</v>
      </c>
    </row>
    <row r="5" customFormat="false" ht="23.85" hidden="false" customHeight="false" outlineLevel="0" collapsed="false">
      <c r="A5" s="13" t="s">
        <v>129</v>
      </c>
      <c r="B5" s="13" t="s">
        <v>130</v>
      </c>
    </row>
    <row r="6" customFormat="false" ht="23.85" hidden="false" customHeight="false" outlineLevel="0" collapsed="false">
      <c r="A6" s="13" t="s">
        <v>131</v>
      </c>
      <c r="B6" s="13" t="s">
        <v>132</v>
      </c>
    </row>
    <row r="7" customFormat="false" ht="23.85" hidden="false" customHeight="false" outlineLevel="0" collapsed="false">
      <c r="A7" s="13" t="s">
        <v>133</v>
      </c>
      <c r="B7" s="13" t="s">
        <v>134</v>
      </c>
    </row>
    <row r="8" customFormat="false" ht="23.85" hidden="false" customHeight="false" outlineLevel="0" collapsed="false">
      <c r="A8" s="13" t="s">
        <v>135</v>
      </c>
      <c r="B8" s="13" t="s">
        <v>136</v>
      </c>
    </row>
    <row r="9" customFormat="false" ht="23.85" hidden="false" customHeight="false" outlineLevel="0" collapsed="false">
      <c r="A9" s="13" t="s">
        <v>137</v>
      </c>
      <c r="B9" s="13" t="s">
        <v>138</v>
      </c>
    </row>
    <row r="10" customFormat="false" ht="23.85" hidden="false" customHeight="false" outlineLevel="0" collapsed="false">
      <c r="A10" s="13" t="s">
        <v>139</v>
      </c>
      <c r="B10" s="13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2026-01-13T09:47:51Z</dcterms:created>
  <dc:creator>openpyxl</dc:creator>
  <dc:description/>
  <dc:language>en-GB</dc:language>
  <cp:lastModifiedBy>Hakan Taskin</cp:lastModifiedBy>
  <dcterms:modified xsi:type="dcterms:W3CDTF">2026-01-13T09:50:35Z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